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My Works\Projects\"/>
    </mc:Choice>
  </mc:AlternateContent>
  <xr:revisionPtr revIDLastSave="0" documentId="13_ncr:1_{13076B2E-464D-4A6D-8CC7-AA5126461F33}" xr6:coauthVersionLast="47" xr6:coauthVersionMax="47" xr10:uidLastSave="{00000000-0000-0000-0000-000000000000}"/>
  <bookViews>
    <workbookView xWindow="-110" yWindow="-110" windowWidth="19420" windowHeight="10300" xr2:uid="{0DE517A5-74DF-43B4-9E21-EE0D138DD143}"/>
  </bookViews>
  <sheets>
    <sheet name="Dashboard_2026" sheetId="11" r:id="rId1"/>
    <sheet name="Income_2026" sheetId="2" r:id="rId2"/>
    <sheet name="Expense_2026" sheetId="1" r:id="rId3"/>
    <sheet name="Savings_2026" sheetId="3" r:id="rId4"/>
    <sheet name="Pivot_Expenses" sheetId="6" r:id="rId5"/>
    <sheet name="Pivot_Income" sheetId="8" r:id="rId6"/>
  </sheets>
  <definedNames>
    <definedName name="_xlnm._FilterDatabase" localSheetId="2" hidden="1">Expense_2026!$B$5:$H$5</definedName>
  </definedNames>
  <calcPr calcId="191029"/>
  <pivotCaches>
    <pivotCache cacheId="22" r:id="rId7"/>
    <pivotCache cacheId="2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3" l="1"/>
  <c r="D6" i="3"/>
  <c r="D7" i="3"/>
  <c r="D8" i="3"/>
  <c r="D9" i="3"/>
  <c r="D10" i="3"/>
  <c r="D11" i="3"/>
  <c r="D12" i="3"/>
  <c r="D13" i="3"/>
  <c r="D14" i="3"/>
  <c r="D15" i="3"/>
  <c r="D16" i="3"/>
  <c r="C5" i="3"/>
  <c r="C6" i="3"/>
  <c r="C7" i="3"/>
  <c r="C8" i="3"/>
  <c r="C9" i="3"/>
  <c r="C10" i="3"/>
  <c r="C11" i="3"/>
  <c r="C12" i="3"/>
  <c r="E12" i="3" s="1"/>
  <c r="C13" i="3"/>
  <c r="C14" i="3"/>
  <c r="C15" i="3"/>
  <c r="C16" i="3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E10" i="3" l="1"/>
  <c r="E11" i="3"/>
  <c r="E5" i="3"/>
  <c r="E9" i="3"/>
  <c r="E16" i="3"/>
  <c r="E8" i="3"/>
  <c r="E15" i="3"/>
  <c r="E7" i="3"/>
  <c r="E14" i="3"/>
  <c r="E6" i="3"/>
  <c r="E13" i="3"/>
</calcChain>
</file>

<file path=xl/sharedStrings.xml><?xml version="1.0" encoding="utf-8"?>
<sst xmlns="http://schemas.openxmlformats.org/spreadsheetml/2006/main" count="69" uniqueCount="45">
  <si>
    <t>PERSONAL EXPENSE &amp; BUDGET ANALYZER 2026</t>
  </si>
  <si>
    <t>DATE</t>
  </si>
  <si>
    <t>MONTH</t>
  </si>
  <si>
    <t>DESCRIPTION</t>
  </si>
  <si>
    <t>CATEGORY</t>
  </si>
  <si>
    <t>AMOUNT</t>
  </si>
  <si>
    <t>PAYMENT MODE</t>
  </si>
  <si>
    <t>REMARK</t>
  </si>
  <si>
    <t>SOURCE</t>
  </si>
  <si>
    <t>Month</t>
  </si>
  <si>
    <t>Total Income</t>
  </si>
  <si>
    <t>Total Expense</t>
  </si>
  <si>
    <t>Savings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</si>
  <si>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</si>
  <si>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</si>
  <si>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</si>
  <si>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</si>
  <si>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</si>
  <si>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</si>
  <si>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</si>
  <si>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</si>
  <si>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</si>
  <si>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</si>
  <si>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</si>
  <si>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</si>
  <si>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(blank)</t>
  </si>
  <si>
    <t>Grand Total</t>
  </si>
  <si>
    <t xml:space="preserve">Travel </t>
  </si>
  <si>
    <t xml:space="preserve">Entertainment </t>
  </si>
  <si>
    <t xml:space="preserve">Education </t>
  </si>
  <si>
    <t>Category</t>
  </si>
  <si>
    <t>Total Amount</t>
  </si>
  <si>
    <t>Sources</t>
  </si>
  <si>
    <t>Total Expenses</t>
  </si>
  <si>
    <t>Loan</t>
  </si>
  <si>
    <t>Part-time</t>
  </si>
  <si>
    <t>Loan Back</t>
  </si>
  <si>
    <t>Total Amout</t>
  </si>
  <si>
    <t>Category Wise Expenses</t>
  </si>
  <si>
    <t>Month Wise Expenses</t>
  </si>
  <si>
    <t>Source Wise Income</t>
  </si>
  <si>
    <t>Month Wise Income</t>
  </si>
  <si>
    <t>EXPENSE TRACKER-2026</t>
  </si>
  <si>
    <t>INCOME TRACKER-2026</t>
  </si>
  <si>
    <t>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</si>
</sst>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NumberFormat="1" applyFont="1" applyFill="1"/>
  </cellXfs>
  <cellStyles count="1">
    <cellStyle name="Normal" xfId="0" builtinId="0"/>
  </cellStyles>
  <dxfs count="42">
    <dxf>
      <fill>
        <patternFill patternType="solid">
          <bgColor theme="1"/>
        </patternFill>
      </fill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ont>
        <color theme="0"/>
      </font>
    </dxf>
    <dxf>
      <fill>
        <patternFill patternType="solid">
          <bgColor theme="1"/>
        </patternFill>
      </fill>
    </dxf>
    <dxf>
      <font>
        <color theme="0"/>
      </font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ill>
        <patternFill patternType="solid">
          <bgColor theme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Expense &amp; Budget Analyzer – 2026.xlsx]Pivot_Expenses!Pivot_Expenses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</a:t>
            </a:r>
            <a:r>
              <a:rPr lang="en-IN" baseline="0"/>
              <a:t> Wise Expenses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Pivot_Expenses!$B$3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F68-4C33-983E-3DFF41391B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F68-4C33-983E-3DFF41391B4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F68-4C33-983E-3DFF41391B4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F68-4C33-983E-3DFF41391B4F}"/>
              </c:ext>
            </c:extLst>
          </c:dPt>
          <c:cat>
            <c:strRef>
              <c:f>Pivot_Expenses!$A$4:$A$8</c:f>
              <c:strCache>
                <c:ptCount val="4"/>
                <c:pt idx="0">
                  <c:v>Education </c:v>
                </c:pt>
                <c:pt idx="1">
                  <c:v>Entertainment </c:v>
                </c:pt>
                <c:pt idx="2">
                  <c:v>Travel </c:v>
                </c:pt>
                <c:pt idx="3">
                  <c:v>(blank)</c:v>
                </c:pt>
              </c:strCache>
            </c:strRef>
          </c:cat>
          <c:val>
            <c:numRef>
              <c:f>Pivot_Expenses!$B$4:$B$8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7F68-4C33-983E-3DFF41391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Expense &amp; Budget Analyzer – 2026.xlsx]Pivot_Expenses!PivotTable5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 Wise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Pivot_Expenses!$F$3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Pivot_Expenses!$E$4:$E$5</c:f>
              <c:strCache>
                <c:ptCount val="1"/>
                <c:pt idx="0">
                  <c:v>(blank)</c:v>
                </c:pt>
              </c:strCache>
            </c:strRef>
          </c:cat>
          <c:val>
            <c:numRef>
              <c:f>Pivot_Expenses!$F$4:$F$5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2600-420F-8851-4583A98B6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67666431"/>
        <c:axId val="1567669343"/>
        <c:axId val="0"/>
      </c:bar3DChart>
      <c:catAx>
        <c:axId val="1567666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69343"/>
        <c:crosses val="autoZero"/>
        <c:auto val="1"/>
        <c:lblAlgn val="ctr"/>
        <c:lblOffset val="100"/>
        <c:noMultiLvlLbl val="0"/>
      </c:catAx>
      <c:valAx>
        <c:axId val="156766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66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Expense &amp; Budget Analyzer – 2026.xlsx]Pivot_Income!Pivot_Income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Pivot_Income!$B$3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DC4-46D3-9D6D-7831C45F55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DC4-46D3-9D6D-7831C45F55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DC4-46D3-9D6D-7831C45F55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DC4-46D3-9D6D-7831C45F5500}"/>
              </c:ext>
            </c:extLst>
          </c:dPt>
          <c:cat>
            <c:strRef>
              <c:f>Pivot_Income!$A$4:$A$8</c:f>
              <c:strCache>
                <c:ptCount val="4"/>
                <c:pt idx="0">
                  <c:v>Loan</c:v>
                </c:pt>
                <c:pt idx="1">
                  <c:v>Loan Back</c:v>
                </c:pt>
                <c:pt idx="2">
                  <c:v>Part-time</c:v>
                </c:pt>
                <c:pt idx="3">
                  <c:v>(blank)</c:v>
                </c:pt>
              </c:strCache>
            </c:strRef>
          </c:cat>
          <c:val>
            <c:numRef>
              <c:f>Pivot_Income!$B$4:$B$8</c:f>
              <c:numCache>
                <c:formatCode>General</c:formatCode>
                <c:ptCount val="4"/>
                <c:pt idx="0">
                  <c:v>459</c:v>
                </c:pt>
                <c:pt idx="1">
                  <c:v>300</c:v>
                </c:pt>
                <c:pt idx="2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DC4-46D3-9D6D-7831C45F5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Expense &amp; Budget Analyzer – 2026.xlsx]Pivot_Income!PivotTable6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</a:t>
            </a:r>
            <a:r>
              <a:rPr lang="en-IN" baseline="0"/>
              <a:t> Wise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Pivot_Income!$F$3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Pivot_Income!$E$4:$E$7</c:f>
              <c:strCache>
                <c:ptCount val="3"/>
                <c:pt idx="0">
                  <c:v>January</c:v>
                </c:pt>
                <c:pt idx="1">
                  <c:v>July</c:v>
                </c:pt>
                <c:pt idx="2">
                  <c:v>(blank)</c:v>
                </c:pt>
              </c:strCache>
            </c:strRef>
          </c:cat>
          <c:val>
            <c:numRef>
              <c:f>Pivot_Income!$F$4:$F$7</c:f>
              <c:numCache>
                <c:formatCode>General</c:formatCode>
                <c:ptCount val="3"/>
                <c:pt idx="0">
                  <c:v>859</c:v>
                </c:pt>
                <c:pt idx="1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1A-4DA4-80F6-6DEF8DC88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69459231"/>
        <c:axId val="1569456319"/>
        <c:axId val="0"/>
      </c:bar3DChart>
      <c:catAx>
        <c:axId val="156945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456319"/>
        <c:crosses val="autoZero"/>
        <c:auto val="1"/>
        <c:lblAlgn val="ctr"/>
        <c:lblOffset val="100"/>
        <c:noMultiLvlLbl val="0"/>
      </c:catAx>
      <c:valAx>
        <c:axId val="156945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45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158750</xdr:colOff>
      <xdr:row>3</xdr:row>
      <xdr:rowOff>104775</xdr:rowOff>
    </xdr:from>
    <xdr:to>
      <xdr:col>8</xdr:col>
      <xdr:colOff>463550</xdr:colOff>
      <xdr:row>18</xdr:row>
      <xdr:rowOff>85725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D11E4D4F-1A2A-423A-BDB4-70DE2113CC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3175</xdr:colOff>
      <xdr:row>3</xdr:row>
      <xdr:rowOff>92075</xdr:rowOff>
    </xdr:from>
    <xdr:to>
      <xdr:col>18</xdr:col>
      <xdr:colOff>307975</xdr:colOff>
      <xdr:row>18</xdr:row>
      <xdr:rowOff>73025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542F565B-0FE8-4348-9FC7-D004B2A8D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209550</xdr:colOff>
      <xdr:row>23</xdr:row>
      <xdr:rowOff>15875</xdr:rowOff>
    </xdr:from>
    <xdr:to>
      <xdr:col>8</xdr:col>
      <xdr:colOff>514350</xdr:colOff>
      <xdr:row>37</xdr:row>
      <xdr:rowOff>180975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FAFDACDF-FEA7-48F1-9A77-297ED3E6A2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25400</xdr:colOff>
      <xdr:row>23</xdr:row>
      <xdr:rowOff>3175</xdr:rowOff>
    </xdr:from>
    <xdr:to>
      <xdr:col>18</xdr:col>
      <xdr:colOff>330200</xdr:colOff>
      <xdr:row>37</xdr:row>
      <xdr:rowOff>168275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347EFC6A-9ACA-413A-8027-A875C52E99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aj s" refreshedDate="46017.608852777776" createdVersion="7" refreshedVersion="7" minRefreshableVersion="3" recordCount="52" xr:uid="{040A25CE-231B-48FA-AC5F-E1D4DC084922}">
  <cacheSource type="worksheet">
    <worksheetSource name="IncomeTBL"/>
  </cacheSource>
  <cacheFields count="6">
    <cacheField name="DATE" numFmtId="0">
      <sharedItems containsNonDate="0" containsString="0" containsBlank="1"/>
    </cacheField>
    <cacheField name="MONTH" numFmtId="0">
      <sharedItems containsBlank="1" count="3">
        <s v="January"/>
        <s v="July"/>
        <m/>
      </sharedItems>
    </cacheField>
    <cacheField name="DESCRIPTION" numFmtId="0">
      <sharedItems containsNonDate="0" containsString="0" containsBlank="1"/>
    </cacheField>
    <cacheField name="SOURCE" numFmtId="0">
      <sharedItems containsBlank="1" count="4">
        <s v="Part-time"/>
        <s v="Loan"/>
        <s v="Loan Back"/>
        <m/>
      </sharedItems>
    </cacheField>
    <cacheField name="AMOUNT" numFmtId="0">
      <sharedItems containsString="0" containsBlank="1" containsNumber="1" containsInteger="1" minValue="300" maxValue="459"/>
    </cacheField>
    <cacheField name="PAYMENT MOD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aj s" refreshedDate="46017.657310069444" createdVersion="7" refreshedVersion="7" minRefreshableVersion="3" recordCount="52" xr:uid="{0E8CF215-F406-4761-A440-07573E5DB614}">
  <cacheSource type="worksheet">
    <worksheetSource name="ExpenseTBL"/>
  </cacheSource>
  <cacheFields count="7">
    <cacheField name="DATE" numFmtId="0">
      <sharedItems containsNonDate="0" containsString="0" containsBlank="1"/>
    </cacheField>
    <cacheField name="MONTH" numFmtId="0">
      <sharedItems containsNonDate="0" containsBlank="1" count="4">
        <m/>
        <s v="June" u="1"/>
        <s v="January" u="1"/>
        <s v="May" u="1"/>
      </sharedItems>
    </cacheField>
    <cacheField name="DESCRIPTION" numFmtId="0">
      <sharedItems containsNonDate="0" containsString="0" containsBlank="1"/>
    </cacheField>
    <cacheField name="CATEGORY" numFmtId="0">
      <sharedItems containsBlank="1" count="4">
        <s v="Travel "/>
        <m/>
        <s v="Entertainment "/>
        <s v="Education "/>
      </sharedItems>
    </cacheField>
    <cacheField name="AMOUNT" numFmtId="0">
      <sharedItems containsNonDate="0" containsString="0" containsBlank="1"/>
    </cacheField>
    <cacheField name="PAYMENT MODE" numFmtId="0">
      <sharedItems containsNonDate="0" containsString="0" containsBlank="1"/>
    </cacheField>
    <cacheField name="REMAR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m/>
    <x v="0"/>
    <m/>
    <x v="0"/>
    <n v="400"/>
    <m/>
  </r>
  <r>
    <m/>
    <x v="0"/>
    <m/>
    <x v="1"/>
    <n v="459"/>
    <m/>
  </r>
  <r>
    <m/>
    <x v="1"/>
    <m/>
    <x v="2"/>
    <n v="300"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  <r>
    <m/>
    <x v="2"/>
    <m/>
    <x v="3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m/>
    <x v="0"/>
    <m/>
    <x v="0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2"/>
    <m/>
    <m/>
    <s v="None"/>
  </r>
  <r>
    <m/>
    <x v="0"/>
    <m/>
    <x v="3"/>
    <m/>
    <m/>
    <s v="None"/>
  </r>
  <r>
    <m/>
    <x v="0"/>
    <m/>
    <x v="3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  <r>
    <m/>
    <x v="0"/>
    <m/>
    <x v="1"/>
    <m/>
    <m/>
    <s v="No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44BE54-00A0-4CE0-957F-522F54BAE4A3}" name="PivotTable5" cacheId="2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 rowHeaderCaption="Month">
  <location ref="E3:F5" firstHeaderRow="1" firstDataRow="1" firstDataCol="1"/>
  <pivotFields count="7">
    <pivotField showAll="0"/>
    <pivotField axis="axisRow" showAll="0">
      <items count="5">
        <item m="1" x="2"/>
        <item m="1" x="3"/>
        <item m="1" x="1"/>
        <item x="0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"/>
  </rowFields>
  <rowItems count="2">
    <i>
      <x v="3"/>
    </i>
    <i t="grand">
      <x/>
    </i>
  </rowItems>
  <colItems count="1">
    <i/>
  </colItems>
  <dataFields count="1">
    <dataField name="Total Amout" fld="4" baseField="1" baseItem="0"/>
  </dataFields>
  <formats count="2">
    <format dxfId="13">
      <pivotArea dataOnly="0" fieldPosition="0">
        <references count="1">
          <reference field="1" count="0"/>
        </references>
      </pivotArea>
    </format>
    <format dxfId="12">
      <pivotArea dataOnly="0" fieldPosition="0">
        <references count="1">
          <reference field="1" count="0"/>
        </references>
      </pivotArea>
    </format>
  </formats>
  <chartFormats count="1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BFE6E4-05B4-49FD-AE8C-F4B01EE5F320}" name="Pivot_Expenses" cacheId="2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3" rowHeaderCaption="Category">
  <location ref="A3:B8" firstHeaderRow="1" firstDataRow="1" firstDataCol="1"/>
  <pivotFields count="7"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dataField="1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Expenses" fld="4" baseField="3" baseItem="0"/>
  </dataFields>
  <formats count="6">
    <format dxfId="19">
      <pivotArea dataOnly="0" fieldPosition="0">
        <references count="1">
          <reference field="3" count="1">
            <x v="0"/>
          </reference>
        </references>
      </pivotArea>
    </format>
    <format dxfId="18">
      <pivotArea dataOnly="0" fieldPosition="0">
        <references count="1">
          <reference field="3" count="1">
            <x v="0"/>
          </reference>
        </references>
      </pivotArea>
    </format>
    <format dxfId="17">
      <pivotArea collapsedLevelsAreSubtotals="1" fieldPosition="0">
        <references count="1">
          <reference field="3" count="3">
            <x v="1"/>
            <x v="2"/>
            <x v="3"/>
          </reference>
        </references>
      </pivotArea>
    </format>
    <format dxfId="16">
      <pivotArea dataOnly="0" labelOnly="1" fieldPosition="0">
        <references count="1">
          <reference field="3" count="3">
            <x v="1"/>
            <x v="2"/>
            <x v="3"/>
          </reference>
        </references>
      </pivotArea>
    </format>
    <format dxfId="15">
      <pivotArea collapsedLevelsAreSubtotals="1" fieldPosition="0">
        <references count="1">
          <reference field="3" count="3">
            <x v="1"/>
            <x v="2"/>
            <x v="3"/>
          </reference>
        </references>
      </pivotArea>
    </format>
    <format dxfId="14">
      <pivotArea dataOnly="0" labelOnly="1" fieldPosition="0">
        <references count="1">
          <reference field="3" count="3">
            <x v="1"/>
            <x v="2"/>
            <x v="3"/>
          </reference>
        </references>
      </pivotArea>
    </format>
  </formats>
  <chartFormats count="5"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F2D197-061F-475E-8EF1-759E16D18DB6}" name="PivotTable6" cacheId="2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6" rowHeaderCaption="Month">
  <location ref="E3:F7" firstHeaderRow="1" firstDataRow="1" firstDataCol="1"/>
  <pivotFields count="6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Amount" fld="4" baseField="1" baseItem="0"/>
  </dataFields>
  <formats count="2">
    <format dxfId="9">
      <pivotArea dataOnly="0" fieldPosition="0">
        <references count="1">
          <reference field="1" count="0"/>
        </references>
      </pivotArea>
    </format>
    <format dxfId="8">
      <pivotArea dataOnly="0" fieldPosition="0">
        <references count="1">
          <reference field="1" count="0"/>
        </references>
      </pivotArea>
    </format>
  </formats>
  <chartFormats count="1"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B61ACC-AD2F-40ED-BBF7-A0FE8EF37FFE}" name="Pivot_Income" cacheId="2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 rowHeaderCaption="Sources">
  <location ref="A3:B8" firstHeaderRow="1" firstDataRow="1" firstDataCol="1"/>
  <pivotFields count="6"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Income" fld="4" baseField="3" baseItem="0"/>
  </dataFields>
  <formats count="2">
    <format dxfId="11">
      <pivotArea dataOnly="0" fieldPosition="0">
        <references count="1">
          <reference field="3" count="0"/>
        </references>
      </pivotArea>
    </format>
    <format dxfId="10">
      <pivotArea dataOnly="0" fieldPosition="0">
        <references count="1">
          <reference field="3" count="0"/>
        </references>
      </pivotArea>
    </format>
  </formats>
  <chartFormats count="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789810-CED9-469A-B915-7B59D704F0AE}" name="IncomeTBL" displayName="IncomeTBL" ref="B5:G57" insertRowShift="1" totalsRowShown="0" headerRowDxfId="32" dataDxfId="31">
  <tableColumns count="6">
    <tableColumn id="1" xr3:uid="{3C2EF083-C3C1-401D-93F1-15589EE92FF2}" name="DATE" dataDxfId="30"/>
    <tableColumn id="2" xr3:uid="{0A6CA771-8BB0-40F3-B279-480A16619A91}" name="MONTH" dataDxfId="29"/>
    <tableColumn id="3" xr3:uid="{1F83029A-9E71-4464-B302-986E530C6313}" name="DESCRIPTION" dataDxfId="28"/>
    <tableColumn id="4" xr3:uid="{3484EDFB-733E-4CDE-8427-BD78209AC649}" name="SOURCE" dataDxfId="27"/>
    <tableColumn id="5" xr3:uid="{F754E608-399F-4E4B-800D-4AADAFB1EAC7}" name="AMOUNT" dataDxfId="26"/>
    <tableColumn id="6" xr3:uid="{AB380BDD-F136-46F9-83E3-E896AD2CFF44}" name="PAYMENT MODE" dataDxfId="25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333E21-B0D7-4C2F-8476-F2B2584D910B}" name="ExpenseTBL" displayName="ExpenseTBL" ref="B5:H57" insertRowShift="1" totalsRowShown="0" headerRowDxfId="34" dataDxfId="35">
  <tableColumns count="7">
    <tableColumn id="1" xr3:uid="{95914FA8-6D4F-4371-93AB-31DA3CBD9076}" name="DATE" dataDxfId="41"/>
    <tableColumn id="2" xr3:uid="{1994EB55-3820-469C-8583-A4A808E563B9}" name="MONTH" dataDxfId="40"/>
    <tableColumn id="3" xr3:uid="{E4A732F5-7E1B-43B6-AE1F-8B28A637DE88}" name="DESCRIPTION" dataDxfId="39"/>
    <tableColumn id="4" xr3:uid="{922F98B5-9082-41D3-9EAD-3755BDD709C0}" name="CATEGORY" dataDxfId="38"/>
    <tableColumn id="5" xr3:uid="{507BADAF-D4BD-4F91-8DDA-4B67CF1C335F}" name="AMOUNT" dataDxfId="37"/>
    <tableColumn id="6" xr3:uid="{E93A8ECC-DD4C-4608-9449-2B776903C0D7}" name="PAYMENT MODE" dataDxfId="36"/>
    <tableColumn id="7" xr3:uid="{F7FF8DCC-B47A-427E-852E-5312B2B57932}" name="REMARK" dataDxfId="33">
      <calculatedColumnFormula>IF(ExpenseTBL[[#This Row],[AMOUNT]]&lt;=0,"None",IF(ExpenseTBL[[#This Row],[AMOUNT]]&gt;500,"High","Normal"))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99855D-08AF-4DD1-BE31-E71784088214}" name="SavingsTBL" displayName="SavingsTBL" ref="B4:E16" totalsRowShown="0" headerRowDxfId="24">
  <tableColumns count="4">
    <tableColumn id="1" xr3:uid="{7AAF915E-61DE-4AFE-BC15-AD23F47F2CAF}" name="Month" dataDxfId="23"/>
    <tableColumn id="2" xr3:uid="{80B87974-E447-45BB-84B9-86161A7B2586}" name="Total Income" dataDxfId="22">
      <calculatedColumnFormula>SUMIFS(IncomeTBL[AMOUNT], IncomeTBL[MONTH], B5)</calculatedColumnFormula>
    </tableColumn>
    <tableColumn id="3" xr3:uid="{EBEFC35B-3B93-49FF-A4D0-02EA65F0E6FC}" name="Total Expense" dataDxfId="21">
      <calculatedColumnFormula>SUMIFS(ExpenseTBL[AMOUNT], ExpenseTBL[MONTH], B5)</calculatedColumnFormula>
    </tableColumn>
    <tableColumn id="4" xr3:uid="{DD3C6FDD-5166-417B-8FFC-773212F185C2}" name="Savings" dataDxfId="20">
      <calculatedColumnFormula>C5-D5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19FC3-0B21-408F-A939-DAF0D08F2F33}">
  <dimension ref="A1:S22"/>
  <sheetViews>
    <sheetView tabSelected="1" workbookViewId="0">
      <selection activeCell="K14" sqref="K14"/>
    </sheetView>
  </sheetViews>
  <sheetFormatPr defaultRowHeight="14.5" x14ac:dyDescent="0.35"/>
  <sheetData>
    <row r="1" spans="1:19" x14ac:dyDescent="0.3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3" spans="1:19" x14ac:dyDescent="0.35">
      <c r="B3" s="6" t="s">
        <v>38</v>
      </c>
      <c r="C3" s="6"/>
      <c r="D3" s="6"/>
      <c r="E3" s="6"/>
      <c r="F3" s="6"/>
      <c r="G3" s="6"/>
      <c r="H3" s="6"/>
      <c r="I3" s="6"/>
      <c r="K3" s="6" t="s">
        <v>39</v>
      </c>
      <c r="L3" s="6"/>
      <c r="M3" s="6"/>
      <c r="N3" s="6"/>
      <c r="O3" s="6"/>
      <c r="P3" s="6"/>
      <c r="Q3" s="6"/>
      <c r="R3" s="6"/>
      <c r="S3" s="6"/>
    </row>
    <row r="22" spans="2:18" x14ac:dyDescent="0.35">
      <c r="B22" s="6" t="s">
        <v>40</v>
      </c>
      <c r="C22" s="6"/>
      <c r="D22" s="6"/>
      <c r="E22" s="6"/>
      <c r="F22" s="6"/>
      <c r="G22" s="6"/>
      <c r="H22" s="6"/>
      <c r="I22" s="6"/>
      <c r="L22" s="6" t="s">
        <v>41</v>
      </c>
      <c r="M22" s="6"/>
      <c r="N22" s="6"/>
      <c r="O22" s="6"/>
      <c r="P22" s="6"/>
      <c r="Q22" s="6"/>
      <c r="R22" s="6"/>
    </row>
  </sheetData>
  <mergeCells count="5">
    <mergeCell ref="A1:S1"/>
    <mergeCell ref="B3:I3"/>
    <mergeCell ref="K3:S3"/>
    <mergeCell ref="B22:I22"/>
    <mergeCell ref="L22:R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30D65-0B86-412C-A940-102882BB7958}">
  <dimension ref="B2:G57"/>
  <sheetViews>
    <sheetView zoomScaleNormal="100" workbookViewId="0">
      <selection activeCell="F6" sqref="F6"/>
    </sheetView>
  </sheetViews>
  <sheetFormatPr defaultRowHeight="14.5" x14ac:dyDescent="0.35"/>
  <cols>
    <col min="2" max="2" width="9.453125" customWidth="1"/>
    <col min="3" max="3" width="9.54296875" customWidth="1"/>
    <col min="4" max="4" width="17.90625" customWidth="1"/>
    <col min="5" max="5" width="14.1796875" customWidth="1"/>
    <col min="6" max="6" width="10.36328125" customWidth="1"/>
    <col min="7" max="7" width="16.26953125" customWidth="1"/>
  </cols>
  <sheetData>
    <row r="2" spans="2:7" x14ac:dyDescent="0.35">
      <c r="B2" s="6" t="s">
        <v>43</v>
      </c>
      <c r="C2" s="6"/>
      <c r="D2" s="6"/>
      <c r="E2" s="6"/>
      <c r="F2" s="6"/>
      <c r="G2" s="6"/>
    </row>
    <row r="4" spans="2:7" x14ac:dyDescent="0.35">
      <c r="B4" s="1"/>
    </row>
    <row r="5" spans="2:7" x14ac:dyDescent="0.35">
      <c r="B5" s="1" t="s">
        <v>1</v>
      </c>
      <c r="C5" s="1" t="s">
        <v>2</v>
      </c>
      <c r="D5" s="1" t="s">
        <v>3</v>
      </c>
      <c r="E5" s="1" t="s">
        <v>8</v>
      </c>
      <c r="F5" s="1" t="s">
        <v>5</v>
      </c>
      <c r="G5" s="1" t="s">
        <v>6</v>
      </c>
    </row>
    <row r="6" spans="2:7" x14ac:dyDescent="0.35">
      <c r="B6" s="1"/>
      <c r="C6" s="1"/>
      <c r="D6" s="1"/>
      <c r="E6" s="1"/>
      <c r="F6" s="1"/>
      <c r="G6" s="1"/>
    </row>
    <row r="7" spans="2:7" x14ac:dyDescent="0.35">
      <c r="B7" s="1"/>
      <c r="C7" s="1"/>
      <c r="D7" s="1"/>
      <c r="E7" s="1"/>
      <c r="F7" s="1"/>
      <c r="G7" s="1"/>
    </row>
    <row r="8" spans="2:7" x14ac:dyDescent="0.35">
      <c r="B8" s="1"/>
      <c r="C8" s="1"/>
      <c r="D8" s="1"/>
      <c r="E8" s="1"/>
      <c r="F8" s="1"/>
      <c r="G8" s="1"/>
    </row>
    <row r="9" spans="2:7" x14ac:dyDescent="0.35">
      <c r="B9" s="1"/>
      <c r="C9" s="1"/>
      <c r="D9" s="1"/>
      <c r="E9" s="1"/>
      <c r="F9" s="1"/>
      <c r="G9" s="1"/>
    </row>
    <row r="10" spans="2:7" x14ac:dyDescent="0.35">
      <c r="B10" s="1"/>
      <c r="C10" s="1"/>
      <c r="D10" s="1"/>
      <c r="E10" s="1"/>
      <c r="F10" s="1"/>
      <c r="G10" s="1"/>
    </row>
    <row r="11" spans="2:7" x14ac:dyDescent="0.35">
      <c r="B11" s="1"/>
      <c r="C11" s="1"/>
      <c r="D11" s="1"/>
      <c r="E11" s="1"/>
      <c r="F11" s="1"/>
      <c r="G11" s="1"/>
    </row>
    <row r="12" spans="2:7" x14ac:dyDescent="0.35">
      <c r="B12" s="1"/>
      <c r="C12" s="1"/>
      <c r="D12" s="1"/>
      <c r="E12" s="1"/>
      <c r="F12" s="1"/>
      <c r="G12" s="1"/>
    </row>
    <row r="13" spans="2:7" x14ac:dyDescent="0.35">
      <c r="B13" s="1"/>
      <c r="C13" s="1"/>
      <c r="D13" s="1"/>
      <c r="E13" s="1"/>
      <c r="F13" s="1"/>
      <c r="G13" s="1"/>
    </row>
    <row r="14" spans="2:7" x14ac:dyDescent="0.35">
      <c r="B14" s="1"/>
      <c r="C14" s="1"/>
      <c r="D14" s="1"/>
      <c r="E14" s="1"/>
      <c r="F14" s="1"/>
      <c r="G14" s="1"/>
    </row>
    <row r="15" spans="2:7" x14ac:dyDescent="0.35">
      <c r="B15" s="1"/>
      <c r="C15" s="1"/>
      <c r="D15" s="1"/>
      <c r="E15" s="1"/>
      <c r="F15" s="1"/>
      <c r="G15" s="1"/>
    </row>
    <row r="16" spans="2:7" x14ac:dyDescent="0.35">
      <c r="B16" s="1"/>
      <c r="C16" s="1"/>
      <c r="D16" s="1"/>
      <c r="E16" s="1"/>
      <c r="F16" s="1"/>
      <c r="G16" s="1"/>
    </row>
    <row r="17" spans="2:7" x14ac:dyDescent="0.35">
      <c r="B17" s="1"/>
      <c r="C17" s="1"/>
      <c r="D17" s="1"/>
      <c r="E17" s="1"/>
      <c r="F17" s="1"/>
      <c r="G17" s="1"/>
    </row>
    <row r="18" spans="2:7" x14ac:dyDescent="0.35">
      <c r="B18" s="1"/>
      <c r="C18" s="1"/>
      <c r="D18" s="1"/>
      <c r="E18" s="1"/>
      <c r="F18" s="1"/>
      <c r="G18" s="1"/>
    </row>
    <row r="19" spans="2:7" x14ac:dyDescent="0.35">
      <c r="B19" s="1"/>
      <c r="C19" s="1"/>
      <c r="D19" s="1"/>
      <c r="E19" s="1"/>
      <c r="F19" s="1"/>
      <c r="G19" s="1"/>
    </row>
    <row r="20" spans="2:7" x14ac:dyDescent="0.35">
      <c r="B20" s="1"/>
      <c r="C20" s="1"/>
      <c r="D20" s="1"/>
      <c r="E20" s="1"/>
      <c r="F20" s="1"/>
      <c r="G20" s="1"/>
    </row>
    <row r="21" spans="2:7" x14ac:dyDescent="0.35">
      <c r="B21" s="1"/>
      <c r="C21" s="1"/>
      <c r="D21" s="1"/>
      <c r="E21" s="1"/>
      <c r="F21" s="1"/>
      <c r="G21" s="1"/>
    </row>
    <row r="22" spans="2:7" x14ac:dyDescent="0.35">
      <c r="B22" s="1"/>
      <c r="C22" s="1"/>
      <c r="D22" s="1"/>
      <c r="E22" s="1"/>
      <c r="F22" s="1"/>
      <c r="G22" s="1"/>
    </row>
    <row r="23" spans="2:7" x14ac:dyDescent="0.35">
      <c r="B23" s="1"/>
      <c r="C23" s="1"/>
      <c r="D23" s="1"/>
      <c r="E23" s="1"/>
      <c r="F23" s="1"/>
      <c r="G23" s="1"/>
    </row>
    <row r="24" spans="2:7" x14ac:dyDescent="0.35">
      <c r="B24" s="1"/>
      <c r="C24" s="1"/>
      <c r="D24" s="1"/>
      <c r="E24" s="1"/>
      <c r="F24" s="1"/>
      <c r="G24" s="1"/>
    </row>
    <row r="25" spans="2:7" x14ac:dyDescent="0.35">
      <c r="B25" s="1"/>
      <c r="C25" s="1"/>
      <c r="D25" s="1"/>
      <c r="E25" s="1"/>
      <c r="F25" s="1"/>
      <c r="G25" s="1"/>
    </row>
    <row r="26" spans="2:7" x14ac:dyDescent="0.35">
      <c r="B26" s="1"/>
      <c r="C26" s="1"/>
      <c r="D26" s="1"/>
      <c r="E26" s="1"/>
      <c r="F26" s="1"/>
      <c r="G26" s="1"/>
    </row>
    <row r="27" spans="2:7" x14ac:dyDescent="0.35">
      <c r="B27" s="1"/>
      <c r="C27" s="1"/>
      <c r="D27" s="1"/>
      <c r="E27" s="1"/>
      <c r="F27" s="1"/>
      <c r="G27" s="1"/>
    </row>
    <row r="28" spans="2:7" x14ac:dyDescent="0.35">
      <c r="B28" s="1"/>
      <c r="C28" s="1"/>
      <c r="D28" s="1"/>
      <c r="E28" s="1"/>
      <c r="F28" s="1"/>
      <c r="G28" s="1"/>
    </row>
    <row r="29" spans="2:7" x14ac:dyDescent="0.35">
      <c r="B29" s="1"/>
      <c r="C29" s="1"/>
      <c r="D29" s="1"/>
      <c r="E29" s="1"/>
      <c r="F29" s="1"/>
      <c r="G29" s="1"/>
    </row>
    <row r="30" spans="2:7" x14ac:dyDescent="0.35">
      <c r="B30" s="1"/>
      <c r="C30" s="1"/>
      <c r="D30" s="1"/>
      <c r="E30" s="1"/>
      <c r="F30" s="1"/>
      <c r="G30" s="1"/>
    </row>
    <row r="31" spans="2:7" x14ac:dyDescent="0.35">
      <c r="B31" s="1"/>
      <c r="C31" s="1"/>
      <c r="D31" s="1"/>
      <c r="E31" s="1"/>
      <c r="F31" s="1"/>
      <c r="G31" s="1"/>
    </row>
    <row r="32" spans="2:7" x14ac:dyDescent="0.35">
      <c r="B32" s="1"/>
      <c r="C32" s="1"/>
      <c r="D32" s="1"/>
      <c r="E32" s="1"/>
      <c r="F32" s="1"/>
      <c r="G32" s="1"/>
    </row>
    <row r="33" spans="2:7" x14ac:dyDescent="0.35">
      <c r="B33" s="1"/>
      <c r="C33" s="1"/>
      <c r="D33" s="1"/>
      <c r="E33" s="1"/>
      <c r="F33" s="1"/>
      <c r="G33" s="1"/>
    </row>
    <row r="34" spans="2:7" x14ac:dyDescent="0.35">
      <c r="B34" s="1"/>
      <c r="C34" s="1"/>
      <c r="D34" s="1"/>
      <c r="E34" s="1"/>
      <c r="F34" s="1"/>
      <c r="G34" s="1"/>
    </row>
    <row r="35" spans="2:7" x14ac:dyDescent="0.35">
      <c r="B35" s="1"/>
      <c r="C35" s="1"/>
      <c r="D35" s="1"/>
      <c r="E35" s="1"/>
      <c r="F35" s="1"/>
      <c r="G35" s="1"/>
    </row>
    <row r="36" spans="2:7" x14ac:dyDescent="0.35">
      <c r="B36" s="1"/>
      <c r="C36" s="1"/>
      <c r="D36" s="1"/>
      <c r="E36" s="1"/>
      <c r="F36" s="1"/>
      <c r="G36" s="1"/>
    </row>
    <row r="37" spans="2:7" x14ac:dyDescent="0.35">
      <c r="B37" s="1"/>
      <c r="C37" s="1"/>
      <c r="D37" s="1"/>
      <c r="E37" s="1"/>
      <c r="F37" s="1"/>
      <c r="G37" s="1"/>
    </row>
    <row r="38" spans="2:7" x14ac:dyDescent="0.35">
      <c r="B38" s="1"/>
      <c r="C38" s="1"/>
      <c r="D38" s="1"/>
      <c r="E38" s="1"/>
      <c r="F38" s="1"/>
      <c r="G38" s="1"/>
    </row>
    <row r="39" spans="2:7" x14ac:dyDescent="0.35">
      <c r="B39" s="1"/>
      <c r="C39" s="1"/>
      <c r="D39" s="1"/>
      <c r="E39" s="1"/>
      <c r="F39" s="1"/>
      <c r="G39" s="1"/>
    </row>
    <row r="40" spans="2:7" x14ac:dyDescent="0.35">
      <c r="B40" s="1"/>
      <c r="C40" s="1"/>
      <c r="D40" s="1"/>
      <c r="E40" s="1"/>
      <c r="F40" s="1"/>
      <c r="G40" s="1"/>
    </row>
    <row r="41" spans="2:7" x14ac:dyDescent="0.35">
      <c r="B41" s="1"/>
      <c r="C41" s="1"/>
      <c r="D41" s="1"/>
      <c r="E41" s="1"/>
      <c r="F41" s="1"/>
      <c r="G41" s="1"/>
    </row>
    <row r="42" spans="2:7" x14ac:dyDescent="0.35">
      <c r="B42" s="1"/>
      <c r="C42" s="1"/>
      <c r="D42" s="1"/>
      <c r="E42" s="1"/>
      <c r="F42" s="1"/>
      <c r="G42" s="1"/>
    </row>
    <row r="43" spans="2:7" x14ac:dyDescent="0.35">
      <c r="B43" s="1"/>
      <c r="C43" s="1"/>
      <c r="D43" s="1"/>
      <c r="E43" s="1"/>
      <c r="F43" s="1"/>
      <c r="G43" s="1"/>
    </row>
    <row r="44" spans="2:7" x14ac:dyDescent="0.35">
      <c r="B44" s="1"/>
      <c r="C44" s="1"/>
      <c r="D44" s="1"/>
      <c r="E44" s="1"/>
      <c r="F44" s="1"/>
      <c r="G44" s="1"/>
    </row>
    <row r="45" spans="2:7" x14ac:dyDescent="0.35">
      <c r="B45" s="1"/>
      <c r="C45" s="1"/>
      <c r="D45" s="1"/>
      <c r="E45" s="1"/>
      <c r="F45" s="1"/>
      <c r="G45" s="1"/>
    </row>
    <row r="46" spans="2:7" x14ac:dyDescent="0.35">
      <c r="B46" s="1"/>
      <c r="C46" s="1"/>
      <c r="D46" s="1"/>
      <c r="E46" s="1"/>
      <c r="F46" s="1"/>
      <c r="G46" s="1"/>
    </row>
    <row r="47" spans="2:7" x14ac:dyDescent="0.35">
      <c r="B47" s="1"/>
      <c r="C47" s="1"/>
      <c r="D47" s="1"/>
      <c r="E47" s="1"/>
      <c r="F47" s="1"/>
      <c r="G47" s="1"/>
    </row>
    <row r="48" spans="2:7" x14ac:dyDescent="0.35">
      <c r="B48" s="1"/>
      <c r="C48" s="1"/>
      <c r="D48" s="1"/>
      <c r="E48" s="1"/>
      <c r="F48" s="1"/>
      <c r="G48" s="1"/>
    </row>
    <row r="49" spans="2:7" x14ac:dyDescent="0.35">
      <c r="B49" s="1"/>
      <c r="C49" s="1"/>
      <c r="D49" s="1"/>
      <c r="E49" s="1"/>
      <c r="F49" s="1"/>
      <c r="G49" s="1"/>
    </row>
    <row r="50" spans="2:7" x14ac:dyDescent="0.35">
      <c r="B50" s="1"/>
      <c r="C50" s="1"/>
      <c r="D50" s="1"/>
      <c r="E50" s="1"/>
      <c r="F50" s="1"/>
      <c r="G50" s="1"/>
    </row>
    <row r="51" spans="2:7" x14ac:dyDescent="0.35">
      <c r="B51" s="1"/>
      <c r="C51" s="1"/>
      <c r="D51" s="1"/>
      <c r="E51" s="1"/>
      <c r="F51" s="1"/>
      <c r="G51" s="1"/>
    </row>
    <row r="52" spans="2:7" x14ac:dyDescent="0.35">
      <c r="B52" s="1"/>
      <c r="C52" s="1"/>
      <c r="D52" s="1"/>
      <c r="E52" s="1"/>
      <c r="F52" s="1"/>
      <c r="G52" s="1"/>
    </row>
    <row r="53" spans="2:7" x14ac:dyDescent="0.35">
      <c r="B53" s="1"/>
      <c r="C53" s="1"/>
      <c r="D53" s="1"/>
      <c r="E53" s="1"/>
      <c r="F53" s="1"/>
      <c r="G53" s="1"/>
    </row>
    <row r="54" spans="2:7" x14ac:dyDescent="0.35">
      <c r="B54" s="1"/>
      <c r="C54" s="1"/>
      <c r="D54" s="1"/>
      <c r="E54" s="1"/>
      <c r="F54" s="1"/>
      <c r="G54" s="1"/>
    </row>
    <row r="55" spans="2:7" x14ac:dyDescent="0.35">
      <c r="B55" s="1"/>
      <c r="C55" s="1"/>
      <c r="D55" s="1"/>
      <c r="E55" s="1"/>
      <c r="F55" s="1"/>
      <c r="G55" s="1"/>
    </row>
    <row r="56" spans="2:7" x14ac:dyDescent="0.35">
      <c r="B56" s="1"/>
      <c r="C56" s="1"/>
      <c r="D56" s="1"/>
      <c r="E56" s="1"/>
      <c r="F56" s="1"/>
      <c r="G56" s="1"/>
    </row>
    <row r="57" spans="2:7" x14ac:dyDescent="0.35">
      <c r="B57" s="1"/>
      <c r="C57" s="1"/>
      <c r="D57" s="1"/>
      <c r="E57" s="1"/>
      <c r="F57" s="1"/>
      <c r="G57" s="1"/>
    </row>
  </sheetData>
  <mergeCells count="1">
    <mergeCell ref="B2:G2"/>
  </mergeCells>
  <dataValidations count="5">
    <dataValidation type="list" allowBlank="1" showInputMessage="1" showErrorMessage="1" sqref="C6:C57" xr:uid="{4280F923-75E6-4AFF-9E63-10E30B791451}">
      <formula1>"January,February,March,April,May,June,July,August,September,October,November,December"</formula1>
    </dataValidation>
    <dataValidation type="date" allowBlank="1" showInputMessage="1" showErrorMessage="1" sqref="B6" xr:uid="{FE77B72B-A98C-4DE7-AFDE-40A148953C9B}">
      <formula1>46023</formula1>
      <formula2>46387</formula2>
    </dataValidation>
    <dataValidation type="list" allowBlank="1" showInputMessage="1" showErrorMessage="1" errorTitle="ERROR" error="Please select a value from the dropdown" promptTitle="Please Choose Payment Method" sqref="G6:G57" xr:uid="{D5D5F0FA-73F7-4E9E-8CA3-9AFFDA88C529}">
      <formula1>"Cash,UPI"</formula1>
    </dataValidation>
    <dataValidation type="list" allowBlank="1" showInputMessage="1" showErrorMessage="1" errorTitle="ERROR" error="Please select a value from the List" promptTitle="Choose Category" sqref="E57" xr:uid="{5942156E-C6A7-476C-ABE6-3D2EE6AAEA31}">
      <formula1>"Food ,Travel ,Mobile ,Entertainment ,Education ,Others"</formula1>
    </dataValidation>
    <dataValidation type="list" allowBlank="1" showInputMessage="1" showErrorMessage="1" sqref="E6 E7:E56" xr:uid="{C768557A-A37E-43CB-9B1E-BE4AAE70C355}">
      <formula1>"Scholarship,Pocket Money ,Part-time,Loan,Loan Back,Other"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DB05-50D3-409F-A0ED-D20493E9CBA0}">
  <dimension ref="A1:Z58"/>
  <sheetViews>
    <sheetView topLeftCell="A13" workbookViewId="0">
      <selection activeCell="E6" sqref="E6"/>
    </sheetView>
  </sheetViews>
  <sheetFormatPr defaultRowHeight="14.5" x14ac:dyDescent="0.35"/>
  <cols>
    <col min="2" max="2" width="11" customWidth="1"/>
    <col min="3" max="3" width="12.54296875" customWidth="1"/>
    <col min="4" max="4" width="22.26953125" customWidth="1"/>
    <col min="5" max="5" width="14.54296875" customWidth="1"/>
    <col min="6" max="6" width="14.26953125" customWidth="1"/>
    <col min="7" max="7" width="20.1796875" customWidth="1"/>
    <col min="8" max="8" width="14" customWidth="1"/>
  </cols>
  <sheetData>
    <row r="1" spans="1:26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5">
      <c r="A2" s="2"/>
      <c r="B2" s="6" t="s">
        <v>42</v>
      </c>
      <c r="C2" s="6"/>
      <c r="D2" s="6"/>
      <c r="E2" s="6"/>
      <c r="F2" s="6"/>
      <c r="G2" s="6"/>
      <c r="H2" s="6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5">
      <c r="A5" s="2"/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5">
      <c r="A6" s="2"/>
      <c r="B6" s="1"/>
      <c r="C6" s="1"/>
      <c r="D6" s="1"/>
      <c r="E6" s="1" t="s">
        <v>27</v>
      </c>
      <c r="F6" s="1"/>
      <c r="G6" s="1"/>
      <c r="H6" s="1" t="str">
        <f>IF(ExpenseTBL[[#This Row],[AMOUNT]]&lt;=0,"None",IF(ExpenseTBL[[#This Row],[AMOUNT]]&gt;500,"High","Normal"))</f>
        <v>None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35">
      <c r="B7" s="1"/>
      <c r="C7" s="1"/>
      <c r="D7" s="1"/>
      <c r="E7" s="1"/>
      <c r="F7" s="1"/>
      <c r="G7" s="1"/>
      <c r="H7" s="1" t="str">
        <f>IF(ExpenseTBL[[#This Row],[AMOUNT]]&lt;=0,"None",IF(ExpenseTBL[[#This Row],[AMOUNT]]&gt;500,"High","Normal"))</f>
        <v>None</v>
      </c>
    </row>
    <row r="8" spans="1:26" x14ac:dyDescent="0.35">
      <c r="B8" s="1"/>
      <c r="C8" s="1"/>
      <c r="D8" s="1"/>
      <c r="E8" s="1"/>
      <c r="F8" s="1"/>
      <c r="G8" s="1"/>
      <c r="H8" s="1" t="str">
        <f>IF(ExpenseTBL[[#This Row],[AMOUNT]]&lt;=0,"None",IF(ExpenseTBL[[#This Row],[AMOUNT]]&gt;500,"High","Normal"))</f>
        <v>None</v>
      </c>
    </row>
    <row r="9" spans="1:26" x14ac:dyDescent="0.35">
      <c r="B9" s="1"/>
      <c r="C9" s="1"/>
      <c r="D9" s="1"/>
      <c r="E9" s="1"/>
      <c r="F9" s="1"/>
      <c r="G9" s="1"/>
      <c r="H9" s="1" t="str">
        <f>IF(ExpenseTBL[[#This Row],[AMOUNT]]&lt;=0,"None",IF(ExpenseTBL[[#This Row],[AMOUNT]]&gt;500,"High","Normal"))</f>
        <v>None</v>
      </c>
    </row>
    <row r="10" spans="1:26" x14ac:dyDescent="0.35">
      <c r="B10" s="1"/>
      <c r="C10" s="1"/>
      <c r="D10" s="1"/>
      <c r="E10" s="1"/>
      <c r="F10" s="1"/>
      <c r="G10" s="1"/>
      <c r="H10" s="1" t="str">
        <f>IF(ExpenseTBL[[#This Row],[AMOUNT]]&lt;=0,"None",IF(ExpenseTBL[[#This Row],[AMOUNT]]&gt;500,"High","Normal"))</f>
        <v>None</v>
      </c>
    </row>
    <row r="11" spans="1:26" x14ac:dyDescent="0.35">
      <c r="B11" s="1"/>
      <c r="C11" s="1"/>
      <c r="D11" s="1"/>
      <c r="E11" s="1" t="s">
        <v>28</v>
      </c>
      <c r="F11" s="1"/>
      <c r="G11" s="1"/>
      <c r="H11" s="1" t="str">
        <f>IF(ExpenseTBL[[#This Row],[AMOUNT]]&lt;=0,"None",IF(ExpenseTBL[[#This Row],[AMOUNT]]&gt;500,"High","Normal"))</f>
        <v>None</v>
      </c>
    </row>
    <row r="12" spans="1:26" x14ac:dyDescent="0.35">
      <c r="B12" s="1"/>
      <c r="C12" s="1"/>
      <c r="D12" s="1"/>
      <c r="E12" s="1" t="s">
        <v>29</v>
      </c>
      <c r="F12" s="1"/>
      <c r="G12" s="1"/>
      <c r="H12" s="1" t="str">
        <f>IF(ExpenseTBL[[#This Row],[AMOUNT]]&lt;=0,"None",IF(ExpenseTBL[[#This Row],[AMOUNT]]&gt;500,"High","Normal"))</f>
        <v>None</v>
      </c>
    </row>
    <row r="13" spans="1:26" x14ac:dyDescent="0.35">
      <c r="B13" s="1"/>
      <c r="C13" s="1"/>
      <c r="D13" s="1"/>
      <c r="E13" s="1" t="s">
        <v>29</v>
      </c>
      <c r="F13" s="1"/>
      <c r="G13" s="1"/>
      <c r="H13" s="1" t="str">
        <f>IF(ExpenseTBL[[#This Row],[AMOUNT]]&lt;=0,"None",IF(ExpenseTBL[[#This Row],[AMOUNT]]&gt;500,"High","Normal"))</f>
        <v>None</v>
      </c>
    </row>
    <row r="14" spans="1:26" x14ac:dyDescent="0.35">
      <c r="B14" s="1"/>
      <c r="C14" s="1"/>
      <c r="D14" s="1"/>
      <c r="E14" s="1"/>
      <c r="F14" s="1"/>
      <c r="G14" s="1"/>
      <c r="H14" s="1" t="str">
        <f>IF(ExpenseTBL[[#This Row],[AMOUNT]]&lt;=0,"None",IF(ExpenseTBL[[#This Row],[AMOUNT]]&gt;500,"High","Normal"))</f>
        <v>None</v>
      </c>
    </row>
    <row r="15" spans="1:26" x14ac:dyDescent="0.35">
      <c r="B15" s="1"/>
      <c r="C15" s="1"/>
      <c r="D15" s="1"/>
      <c r="E15" s="1"/>
      <c r="F15" s="1"/>
      <c r="G15" s="1"/>
      <c r="H15" s="1" t="str">
        <f>IF(ExpenseTBL[[#This Row],[AMOUNT]]&lt;=0,"None",IF(ExpenseTBL[[#This Row],[AMOUNT]]&gt;500,"High","Normal"))</f>
        <v>None</v>
      </c>
    </row>
    <row r="16" spans="1:26" x14ac:dyDescent="0.35">
      <c r="B16" s="1"/>
      <c r="C16" s="1"/>
      <c r="D16" s="1"/>
      <c r="E16" s="1"/>
      <c r="F16" s="1"/>
      <c r="G16" s="1"/>
      <c r="H16" s="1" t="str">
        <f>IF(ExpenseTBL[[#This Row],[AMOUNT]]&lt;=0,"None",IF(ExpenseTBL[[#This Row],[AMOUNT]]&gt;500,"High","Normal"))</f>
        <v>None</v>
      </c>
    </row>
    <row r="17" spans="2:8" x14ac:dyDescent="0.35">
      <c r="B17" s="1"/>
      <c r="C17" s="1"/>
      <c r="D17" s="1"/>
      <c r="E17" s="1"/>
      <c r="F17" s="1"/>
      <c r="G17" s="1"/>
      <c r="H17" s="1" t="str">
        <f>IF(ExpenseTBL[[#This Row],[AMOUNT]]&lt;=0,"None",IF(ExpenseTBL[[#This Row],[AMOUNT]]&gt;500,"High","Normal"))</f>
        <v>None</v>
      </c>
    </row>
    <row r="18" spans="2:8" x14ac:dyDescent="0.35">
      <c r="B18" s="1"/>
      <c r="C18" s="1"/>
      <c r="D18" s="1"/>
      <c r="E18" s="1"/>
      <c r="F18" s="1"/>
      <c r="G18" s="1"/>
      <c r="H18" s="1" t="str">
        <f>IF(ExpenseTBL[[#This Row],[AMOUNT]]&lt;=0,"None",IF(ExpenseTBL[[#This Row],[AMOUNT]]&gt;500,"High","Normal"))</f>
        <v>None</v>
      </c>
    </row>
    <row r="19" spans="2:8" x14ac:dyDescent="0.35">
      <c r="B19" s="1"/>
      <c r="C19" s="1"/>
      <c r="D19" s="1"/>
      <c r="E19" s="1"/>
      <c r="F19" s="1"/>
      <c r="G19" s="1"/>
      <c r="H19" s="1" t="str">
        <f>IF(ExpenseTBL[[#This Row],[AMOUNT]]&lt;=0,"None",IF(ExpenseTBL[[#This Row],[AMOUNT]]&gt;500,"High","Normal"))</f>
        <v>None</v>
      </c>
    </row>
    <row r="20" spans="2:8" x14ac:dyDescent="0.35">
      <c r="B20" s="1"/>
      <c r="C20" s="1"/>
      <c r="D20" s="1"/>
      <c r="E20" s="1"/>
      <c r="F20" s="1"/>
      <c r="G20" s="1"/>
      <c r="H20" s="1" t="str">
        <f>IF(ExpenseTBL[[#This Row],[AMOUNT]]&lt;=0,"None",IF(ExpenseTBL[[#This Row],[AMOUNT]]&gt;500,"High","Normal"))</f>
        <v>None</v>
      </c>
    </row>
    <row r="21" spans="2:8" x14ac:dyDescent="0.35">
      <c r="B21" s="1"/>
      <c r="C21" s="1"/>
      <c r="D21" s="1"/>
      <c r="E21" s="1"/>
      <c r="F21" s="1"/>
      <c r="G21" s="1"/>
      <c r="H21" s="1" t="str">
        <f>IF(ExpenseTBL[[#This Row],[AMOUNT]]&lt;=0,"None",IF(ExpenseTBL[[#This Row],[AMOUNT]]&gt;500,"High","Normal"))</f>
        <v>None</v>
      </c>
    </row>
    <row r="22" spans="2:8" x14ac:dyDescent="0.35">
      <c r="B22" s="1"/>
      <c r="C22" s="1"/>
      <c r="D22" s="1"/>
      <c r="E22" s="1"/>
      <c r="F22" s="1"/>
      <c r="G22" s="1"/>
      <c r="H22" s="1" t="str">
        <f>IF(ExpenseTBL[[#This Row],[AMOUNT]]&lt;=0,"None",IF(ExpenseTBL[[#This Row],[AMOUNT]]&gt;500,"High","Normal"))</f>
        <v>None</v>
      </c>
    </row>
    <row r="23" spans="2:8" x14ac:dyDescent="0.35">
      <c r="B23" s="1"/>
      <c r="C23" s="1"/>
      <c r="D23" s="1"/>
      <c r="E23" s="1"/>
      <c r="F23" s="1"/>
      <c r="G23" s="1"/>
      <c r="H23" s="1" t="str">
        <f>IF(ExpenseTBL[[#This Row],[AMOUNT]]&lt;=0,"None",IF(ExpenseTBL[[#This Row],[AMOUNT]]&gt;500,"High","Normal"))</f>
        <v>None</v>
      </c>
    </row>
    <row r="24" spans="2:8" x14ac:dyDescent="0.35">
      <c r="B24" s="1"/>
      <c r="C24" s="1"/>
      <c r="D24" s="1"/>
      <c r="E24" s="1"/>
      <c r="F24" s="1"/>
      <c r="G24" s="1"/>
      <c r="H24" s="1" t="str">
        <f>IF(ExpenseTBL[[#This Row],[AMOUNT]]&lt;=0,"None",IF(ExpenseTBL[[#This Row],[AMOUNT]]&gt;500,"High","Normal"))</f>
        <v>None</v>
      </c>
    </row>
    <row r="25" spans="2:8" x14ac:dyDescent="0.35">
      <c r="B25" s="1"/>
      <c r="C25" s="1"/>
      <c r="D25" s="1"/>
      <c r="E25" s="1"/>
      <c r="F25" s="1"/>
      <c r="G25" s="1"/>
      <c r="H25" s="1" t="str">
        <f>IF(ExpenseTBL[[#This Row],[AMOUNT]]&lt;=0,"None",IF(ExpenseTBL[[#This Row],[AMOUNT]]&gt;500,"High","Normal"))</f>
        <v>None</v>
      </c>
    </row>
    <row r="26" spans="2:8" x14ac:dyDescent="0.35">
      <c r="B26" s="1"/>
      <c r="C26" s="1"/>
      <c r="D26" s="1"/>
      <c r="E26" s="1"/>
      <c r="F26" s="1"/>
      <c r="G26" s="1"/>
      <c r="H26" s="1" t="str">
        <f>IF(ExpenseTBL[[#This Row],[AMOUNT]]&lt;=0,"None",IF(ExpenseTBL[[#This Row],[AMOUNT]]&gt;500,"High","Normal"))</f>
        <v>None</v>
      </c>
    </row>
    <row r="27" spans="2:8" x14ac:dyDescent="0.35">
      <c r="B27" s="1"/>
      <c r="C27" s="1"/>
      <c r="D27" s="1"/>
      <c r="E27" s="1"/>
      <c r="F27" s="1"/>
      <c r="G27" s="1"/>
      <c r="H27" s="1" t="str">
        <f>IF(ExpenseTBL[[#This Row],[AMOUNT]]&lt;=0,"None",IF(ExpenseTBL[[#This Row],[AMOUNT]]&gt;500,"High","Normal"))</f>
        <v>None</v>
      </c>
    </row>
    <row r="28" spans="2:8" x14ac:dyDescent="0.35">
      <c r="B28" s="1"/>
      <c r="C28" s="1"/>
      <c r="D28" s="1"/>
      <c r="E28" s="1"/>
      <c r="F28" s="1"/>
      <c r="G28" s="1"/>
      <c r="H28" s="1" t="str">
        <f>IF(ExpenseTBL[[#This Row],[AMOUNT]]&lt;=0,"None",IF(ExpenseTBL[[#This Row],[AMOUNT]]&gt;500,"High","Normal"))</f>
        <v>None</v>
      </c>
    </row>
    <row r="29" spans="2:8" x14ac:dyDescent="0.35">
      <c r="B29" s="1"/>
      <c r="C29" s="1"/>
      <c r="D29" s="1"/>
      <c r="E29" s="1"/>
      <c r="F29" s="1"/>
      <c r="G29" s="1"/>
      <c r="H29" s="1" t="str">
        <f>IF(ExpenseTBL[[#This Row],[AMOUNT]]&lt;=0,"None",IF(ExpenseTBL[[#This Row],[AMOUNT]]&gt;500,"High","Normal"))</f>
        <v>None</v>
      </c>
    </row>
    <row r="30" spans="2:8" x14ac:dyDescent="0.35">
      <c r="B30" s="1"/>
      <c r="C30" s="1"/>
      <c r="D30" s="1"/>
      <c r="E30" s="1"/>
      <c r="F30" s="1"/>
      <c r="G30" s="1"/>
      <c r="H30" s="1" t="str">
        <f>IF(ExpenseTBL[[#This Row],[AMOUNT]]&lt;=0,"None",IF(ExpenseTBL[[#This Row],[AMOUNT]]&gt;500,"High","Normal"))</f>
        <v>None</v>
      </c>
    </row>
    <row r="31" spans="2:8" x14ac:dyDescent="0.35">
      <c r="B31" s="1"/>
      <c r="C31" s="1"/>
      <c r="D31" s="1"/>
      <c r="E31" s="1"/>
      <c r="F31" s="1"/>
      <c r="G31" s="1"/>
      <c r="H31" s="1" t="str">
        <f>IF(ExpenseTBL[[#This Row],[AMOUNT]]&lt;=0,"None",IF(ExpenseTBL[[#This Row],[AMOUNT]]&gt;500,"High","Normal"))</f>
        <v>None</v>
      </c>
    </row>
    <row r="32" spans="2:8" x14ac:dyDescent="0.35">
      <c r="B32" s="1"/>
      <c r="C32" s="1"/>
      <c r="D32" s="1"/>
      <c r="E32" s="1"/>
      <c r="F32" s="1"/>
      <c r="G32" s="1"/>
      <c r="H32" s="1" t="str">
        <f>IF(ExpenseTBL[[#This Row],[AMOUNT]]&lt;=0,"None",IF(ExpenseTBL[[#This Row],[AMOUNT]]&gt;500,"High","Normal"))</f>
        <v>None</v>
      </c>
    </row>
    <row r="33" spans="2:8" x14ac:dyDescent="0.35">
      <c r="B33" s="1"/>
      <c r="C33" s="1"/>
      <c r="D33" s="1"/>
      <c r="E33" s="1"/>
      <c r="F33" s="1"/>
      <c r="G33" s="1"/>
      <c r="H33" s="1" t="str">
        <f>IF(ExpenseTBL[[#This Row],[AMOUNT]]&lt;=0,"None",IF(ExpenseTBL[[#This Row],[AMOUNT]]&gt;500,"High","Normal"))</f>
        <v>None</v>
      </c>
    </row>
    <row r="34" spans="2:8" x14ac:dyDescent="0.35">
      <c r="B34" s="1"/>
      <c r="C34" s="1"/>
      <c r="D34" s="1"/>
      <c r="E34" s="1"/>
      <c r="F34" s="1"/>
      <c r="G34" s="1"/>
      <c r="H34" s="1" t="str">
        <f>IF(ExpenseTBL[[#This Row],[AMOUNT]]&lt;=0,"None",IF(ExpenseTBL[[#This Row],[AMOUNT]]&gt;500,"High","Normal"))</f>
        <v>None</v>
      </c>
    </row>
    <row r="35" spans="2:8" x14ac:dyDescent="0.35">
      <c r="B35" s="1"/>
      <c r="C35" s="1"/>
      <c r="D35" s="1"/>
      <c r="E35" s="1"/>
      <c r="F35" s="1"/>
      <c r="G35" s="1"/>
      <c r="H35" s="1" t="str">
        <f>IF(ExpenseTBL[[#This Row],[AMOUNT]]&lt;=0,"None",IF(ExpenseTBL[[#This Row],[AMOUNT]]&gt;500,"High","Normal"))</f>
        <v>None</v>
      </c>
    </row>
    <row r="36" spans="2:8" x14ac:dyDescent="0.35">
      <c r="B36" s="1"/>
      <c r="C36" s="1"/>
      <c r="D36" s="1"/>
      <c r="E36" s="1"/>
      <c r="F36" s="1"/>
      <c r="G36" s="1"/>
      <c r="H36" s="1" t="str">
        <f>IF(ExpenseTBL[[#This Row],[AMOUNT]]&lt;=0,"None",IF(ExpenseTBL[[#This Row],[AMOUNT]]&gt;500,"High","Normal"))</f>
        <v>None</v>
      </c>
    </row>
    <row r="37" spans="2:8" x14ac:dyDescent="0.35">
      <c r="B37" s="1"/>
      <c r="C37" s="1"/>
      <c r="D37" s="1"/>
      <c r="E37" s="1"/>
      <c r="F37" s="1"/>
      <c r="G37" s="1"/>
      <c r="H37" s="1" t="str">
        <f>IF(ExpenseTBL[[#This Row],[AMOUNT]]&lt;=0,"None",IF(ExpenseTBL[[#This Row],[AMOUNT]]&gt;500,"High","Normal"))</f>
        <v>None</v>
      </c>
    </row>
    <row r="38" spans="2:8" x14ac:dyDescent="0.35">
      <c r="B38" s="1"/>
      <c r="C38" s="1"/>
      <c r="D38" s="1"/>
      <c r="E38" s="1"/>
      <c r="F38" s="1"/>
      <c r="G38" s="1"/>
      <c r="H38" s="1" t="str">
        <f>IF(ExpenseTBL[[#This Row],[AMOUNT]]&lt;=0,"None",IF(ExpenseTBL[[#This Row],[AMOUNT]]&gt;500,"High","Normal"))</f>
        <v>None</v>
      </c>
    </row>
    <row r="39" spans="2:8" x14ac:dyDescent="0.35">
      <c r="B39" s="1"/>
      <c r="C39" s="1"/>
      <c r="D39" s="1"/>
      <c r="E39" s="1"/>
      <c r="F39" s="1"/>
      <c r="G39" s="1"/>
      <c r="H39" s="1" t="str">
        <f>IF(ExpenseTBL[[#This Row],[AMOUNT]]&lt;=0,"None",IF(ExpenseTBL[[#This Row],[AMOUNT]]&gt;500,"High","Normal"))</f>
        <v>None</v>
      </c>
    </row>
    <row r="40" spans="2:8" x14ac:dyDescent="0.35">
      <c r="B40" s="1"/>
      <c r="C40" s="1"/>
      <c r="D40" s="1"/>
      <c r="E40" s="1"/>
      <c r="F40" s="1"/>
      <c r="G40" s="1"/>
      <c r="H40" s="1" t="str">
        <f>IF(ExpenseTBL[[#This Row],[AMOUNT]]&lt;=0,"None",IF(ExpenseTBL[[#This Row],[AMOUNT]]&gt;500,"High","Normal"))</f>
        <v>None</v>
      </c>
    </row>
    <row r="41" spans="2:8" x14ac:dyDescent="0.35">
      <c r="B41" s="1"/>
      <c r="C41" s="1"/>
      <c r="D41" s="1"/>
      <c r="E41" s="1"/>
      <c r="F41" s="1"/>
      <c r="G41" s="1"/>
      <c r="H41" s="1" t="str">
        <f>IF(ExpenseTBL[[#This Row],[AMOUNT]]&lt;=0,"None",IF(ExpenseTBL[[#This Row],[AMOUNT]]&gt;500,"High","Normal"))</f>
        <v>None</v>
      </c>
    </row>
    <row r="42" spans="2:8" x14ac:dyDescent="0.35">
      <c r="B42" s="1"/>
      <c r="C42" s="1"/>
      <c r="D42" s="1"/>
      <c r="E42" s="1"/>
      <c r="F42" s="1"/>
      <c r="G42" s="1"/>
      <c r="H42" s="1" t="str">
        <f>IF(ExpenseTBL[[#This Row],[AMOUNT]]&lt;=0,"None",IF(ExpenseTBL[[#This Row],[AMOUNT]]&gt;500,"High","Normal"))</f>
        <v>None</v>
      </c>
    </row>
    <row r="43" spans="2:8" x14ac:dyDescent="0.35">
      <c r="B43" s="1"/>
      <c r="C43" s="1"/>
      <c r="D43" s="1"/>
      <c r="E43" s="1"/>
      <c r="F43" s="1"/>
      <c r="G43" s="1"/>
      <c r="H43" s="1" t="str">
        <f>IF(ExpenseTBL[[#This Row],[AMOUNT]]&lt;=0,"None",IF(ExpenseTBL[[#This Row],[AMOUNT]]&gt;500,"High","Normal"))</f>
        <v>None</v>
      </c>
    </row>
    <row r="44" spans="2:8" x14ac:dyDescent="0.35">
      <c r="B44" s="1"/>
      <c r="C44" s="1"/>
      <c r="D44" s="1"/>
      <c r="E44" s="1"/>
      <c r="F44" s="1"/>
      <c r="G44" s="1"/>
      <c r="H44" s="1" t="str">
        <f>IF(ExpenseTBL[[#This Row],[AMOUNT]]&lt;=0,"None",IF(ExpenseTBL[[#This Row],[AMOUNT]]&gt;500,"High","Normal"))</f>
        <v>None</v>
      </c>
    </row>
    <row r="45" spans="2:8" x14ac:dyDescent="0.35">
      <c r="B45" s="1"/>
      <c r="C45" s="1"/>
      <c r="D45" s="1"/>
      <c r="E45" s="1"/>
      <c r="F45" s="1"/>
      <c r="G45" s="1"/>
      <c r="H45" s="1" t="str">
        <f>IF(ExpenseTBL[[#This Row],[AMOUNT]]&lt;=0,"None",IF(ExpenseTBL[[#This Row],[AMOUNT]]&gt;500,"High","Normal"))</f>
        <v>None</v>
      </c>
    </row>
    <row r="46" spans="2:8" x14ac:dyDescent="0.35">
      <c r="B46" s="1"/>
      <c r="C46" s="1"/>
      <c r="D46" s="1"/>
      <c r="E46" s="1"/>
      <c r="F46" s="1"/>
      <c r="G46" s="1"/>
      <c r="H46" s="1" t="str">
        <f>IF(ExpenseTBL[[#This Row],[AMOUNT]]&lt;=0,"None",IF(ExpenseTBL[[#This Row],[AMOUNT]]&gt;500,"High","Normal"))</f>
        <v>None</v>
      </c>
    </row>
    <row r="47" spans="2:8" x14ac:dyDescent="0.35">
      <c r="B47" s="1"/>
      <c r="C47" s="1"/>
      <c r="D47" s="1"/>
      <c r="E47" s="1"/>
      <c r="F47" s="1"/>
      <c r="G47" s="1"/>
      <c r="H47" s="1" t="str">
        <f>IF(ExpenseTBL[[#This Row],[AMOUNT]]&lt;=0,"None",IF(ExpenseTBL[[#This Row],[AMOUNT]]&gt;500,"High","Normal"))</f>
        <v>None</v>
      </c>
    </row>
    <row r="48" spans="2:8" x14ac:dyDescent="0.35">
      <c r="B48" s="1"/>
      <c r="C48" s="1"/>
      <c r="D48" s="1"/>
      <c r="E48" s="1"/>
      <c r="F48" s="1"/>
      <c r="G48" s="1"/>
      <c r="H48" s="1" t="str">
        <f>IF(ExpenseTBL[[#This Row],[AMOUNT]]&lt;=0,"None",IF(ExpenseTBL[[#This Row],[AMOUNT]]&gt;500,"High","Normal"))</f>
        <v>None</v>
      </c>
    </row>
    <row r="49" spans="2:8" x14ac:dyDescent="0.35">
      <c r="B49" s="1"/>
      <c r="C49" s="1"/>
      <c r="D49" s="1"/>
      <c r="E49" s="1"/>
      <c r="F49" s="1"/>
      <c r="G49" s="1"/>
      <c r="H49" s="1" t="str">
        <f>IF(ExpenseTBL[[#This Row],[AMOUNT]]&lt;=0,"None",IF(ExpenseTBL[[#This Row],[AMOUNT]]&gt;500,"High","Normal"))</f>
        <v>None</v>
      </c>
    </row>
    <row r="50" spans="2:8" x14ac:dyDescent="0.35">
      <c r="B50" s="1"/>
      <c r="C50" s="1"/>
      <c r="D50" s="1"/>
      <c r="E50" s="1"/>
      <c r="F50" s="1"/>
      <c r="G50" s="1"/>
      <c r="H50" s="1" t="str">
        <f>IF(ExpenseTBL[[#This Row],[AMOUNT]]&lt;=0,"None",IF(ExpenseTBL[[#This Row],[AMOUNT]]&gt;500,"High","Normal"))</f>
        <v>None</v>
      </c>
    </row>
    <row r="51" spans="2:8" x14ac:dyDescent="0.35">
      <c r="B51" s="1"/>
      <c r="C51" s="1"/>
      <c r="D51" s="1"/>
      <c r="E51" s="1"/>
      <c r="F51" s="1"/>
      <c r="G51" s="1"/>
      <c r="H51" s="1" t="str">
        <f>IF(ExpenseTBL[[#This Row],[AMOUNT]]&lt;=0,"None",IF(ExpenseTBL[[#This Row],[AMOUNT]]&gt;500,"High","Normal"))</f>
        <v>None</v>
      </c>
    </row>
    <row r="52" spans="2:8" x14ac:dyDescent="0.35">
      <c r="B52" s="1"/>
      <c r="C52" s="1"/>
      <c r="D52" s="1"/>
      <c r="E52" s="1"/>
      <c r="F52" s="1"/>
      <c r="G52" s="1"/>
      <c r="H52" s="1" t="str">
        <f>IF(ExpenseTBL[[#This Row],[AMOUNT]]&lt;=0,"None",IF(ExpenseTBL[[#This Row],[AMOUNT]]&gt;500,"High","Normal"))</f>
        <v>None</v>
      </c>
    </row>
    <row r="53" spans="2:8" x14ac:dyDescent="0.35">
      <c r="B53" s="1"/>
      <c r="C53" s="1"/>
      <c r="D53" s="1"/>
      <c r="E53" s="1"/>
      <c r="F53" s="1"/>
      <c r="G53" s="1"/>
      <c r="H53" s="1" t="str">
        <f>IF(ExpenseTBL[[#This Row],[AMOUNT]]&lt;=0,"None",IF(ExpenseTBL[[#This Row],[AMOUNT]]&gt;500,"High","Normal"))</f>
        <v>None</v>
      </c>
    </row>
    <row r="54" spans="2:8" x14ac:dyDescent="0.35">
      <c r="B54" s="1"/>
      <c r="C54" s="1"/>
      <c r="D54" s="1"/>
      <c r="E54" s="1"/>
      <c r="F54" s="1"/>
      <c r="G54" s="1"/>
      <c r="H54" s="1" t="str">
        <f>IF(ExpenseTBL[[#This Row],[AMOUNT]]&lt;=0,"None",IF(ExpenseTBL[[#This Row],[AMOUNT]]&gt;500,"High","Normal"))</f>
        <v>None</v>
      </c>
    </row>
    <row r="55" spans="2:8" x14ac:dyDescent="0.35">
      <c r="B55" s="1"/>
      <c r="C55" s="1"/>
      <c r="D55" s="1"/>
      <c r="E55" s="1"/>
      <c r="F55" s="1"/>
      <c r="G55" s="1"/>
      <c r="H55" s="1" t="str">
        <f>IF(ExpenseTBL[[#This Row],[AMOUNT]]&lt;=0,"None",IF(ExpenseTBL[[#This Row],[AMOUNT]]&gt;500,"High","Normal"))</f>
        <v>None</v>
      </c>
    </row>
    <row r="56" spans="2:8" x14ac:dyDescent="0.35">
      <c r="B56" s="1"/>
      <c r="C56" s="1"/>
      <c r="D56" s="1"/>
      <c r="E56" s="1"/>
      <c r="F56" s="1"/>
      <c r="G56" s="1"/>
      <c r="H56" s="1" t="str">
        <f>IF(ExpenseTBL[[#This Row],[AMOUNT]]&lt;=0,"None",IF(ExpenseTBL[[#This Row],[AMOUNT]]&gt;500,"High","Normal"))</f>
        <v>None</v>
      </c>
    </row>
    <row r="57" spans="2:8" x14ac:dyDescent="0.35">
      <c r="B57" s="1"/>
      <c r="C57" s="1"/>
      <c r="D57" s="1"/>
      <c r="E57" s="1"/>
      <c r="F57" s="1"/>
      <c r="G57" s="1"/>
      <c r="H57" s="1" t="str">
        <f>IF(ExpenseTBL[[#This Row],[AMOUNT]]&lt;=0,"None",IF(ExpenseTBL[[#This Row],[AMOUNT]]&gt;500,"High","Normal"))</f>
        <v>None</v>
      </c>
    </row>
    <row r="58" spans="2:8" x14ac:dyDescent="0.35">
      <c r="B58" s="2"/>
      <c r="C58" s="2"/>
      <c r="D58" s="2"/>
      <c r="E58" s="2"/>
      <c r="F58" s="2"/>
      <c r="G58" s="2"/>
      <c r="H58" s="2"/>
    </row>
  </sheetData>
  <mergeCells count="1">
    <mergeCell ref="B2:H2"/>
  </mergeCells>
  <dataValidations count="5">
    <dataValidation type="list" allowBlank="1" showInputMessage="1" showErrorMessage="1" errorTitle="ERROR" error="Please select a value from the List" promptTitle="Choose Category" sqref="E59:E93 E7:E58" xr:uid="{24D46376-BE2E-49E3-BF06-1AA81AE9DBB0}">
      <formula1>"Food ,Travel ,Mobile ,Entertainment ,Education ,Others"</formula1>
    </dataValidation>
    <dataValidation type="list" allowBlank="1" showInputMessage="1" showErrorMessage="1" errorTitle="ERROR" error="Please select a value from the dropdown" promptTitle="Please Choose Payment Method" sqref="G6:G59 F60 G61:G96" xr:uid="{C9F25080-01DF-4F41-9F7B-2A44C654B7E8}">
      <formula1>"Cash,UPI"</formula1>
    </dataValidation>
    <dataValidation type="date" allowBlank="1" showInputMessage="1" showErrorMessage="1" sqref="B6" xr:uid="{68A117E0-E57E-41D6-8D9B-AF95757F13B4}">
      <formula1>46023</formula1>
      <formula2>46387</formula2>
    </dataValidation>
    <dataValidation type="list" allowBlank="1" showInputMessage="1" showErrorMessage="1" sqref="C7:C57 C6" xr:uid="{0A437A74-B73B-42AE-974C-50E7298848C5}">
      <formula1>"January,February,March,April,May,June,July,August,September,October,November,December"</formula1>
    </dataValidation>
    <dataValidation type="list" allowBlank="1" showInputMessage="1" showErrorMessage="1" errorTitle="ERROR" error="Please select a value from the List" promptTitle="Choose Category" sqref="E6" xr:uid="{5F486533-285E-4520-B6FE-2570125568C8}">
      <formula1>"Food ,Travel ,Mobile ,Entertainment ,Education ,Loan,Others"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0201C-C481-4573-86AD-AC3C60B4DB5D}">
  <dimension ref="B2:E16"/>
  <sheetViews>
    <sheetView topLeftCell="B1" workbookViewId="0">
      <selection activeCell="G18" sqref="G18"/>
    </sheetView>
  </sheetViews>
  <sheetFormatPr defaultRowHeight="14.5" x14ac:dyDescent="0.35"/>
  <cols>
    <col min="2" max="2" width="12.36328125" customWidth="1"/>
    <col min="3" max="3" width="16.1796875" customWidth="1"/>
    <col min="4" max="4" width="17.453125" customWidth="1"/>
    <col min="5" max="5" width="12.36328125" customWidth="1"/>
  </cols>
  <sheetData>
    <row r="2" spans="2:5" x14ac:dyDescent="0.35">
      <c r="B2" s="6" t="s">
        <v>44</v>
      </c>
      <c r="C2" s="6"/>
      <c r="D2" s="6"/>
      <c r="E2" s="6"/>
    </row>
    <row r="4" spans="2:5" x14ac:dyDescent="0.35">
      <c r="B4" s="1" t="s">
        <v>9</v>
      </c>
      <c r="C4" s="1" t="s">
        <v>10</v>
      </c>
      <c r="D4" s="1" t="s">
        <v>11</v>
      </c>
      <c r="E4" s="1" t="s">
        <v>12</v>
      </c>
    </row>
    <row r="5" spans="2:5" x14ac:dyDescent="0.35">
      <c r="B5" s="1" t="s">
        <v>13</v>
      </c>
      <c r="C5">
        <f>SUMIFS(IncomeTBL[AMOUNT], IncomeTBL[MONTH], B5)</f>
        <v>0</v>
      </c>
      <c r="D5">
        <f>SUMIFS(ExpenseTBL[AMOUNT], ExpenseTBL[MONTH], B5)</f>
        <v>0</v>
      </c>
      <c r="E5">
        <f t="shared" ref="E5:E16" si="0">C5-D5</f>
        <v>0</v>
      </c>
    </row>
    <row r="6" spans="2:5" x14ac:dyDescent="0.35">
      <c r="B6" s="1" t="s">
        <v>14</v>
      </c>
      <c r="C6">
        <f>SUMIFS(IncomeTBL[AMOUNT], IncomeTBL[MONTH], B6)</f>
        <v>0</v>
      </c>
      <c r="D6">
        <f>SUMIFS(ExpenseTBL[AMOUNT], ExpenseTBL[MONTH], B6)</f>
        <v>0</v>
      </c>
      <c r="E6">
        <f t="shared" si="0"/>
        <v>0</v>
      </c>
    </row>
    <row r="7" spans="2:5" x14ac:dyDescent="0.35">
      <c r="B7" s="1" t="s">
        <v>15</v>
      </c>
      <c r="C7">
        <f>SUMIFS(IncomeTBL[AMOUNT], IncomeTBL[MONTH], B7)</f>
        <v>0</v>
      </c>
      <c r="D7">
        <f>SUMIFS(ExpenseTBL[AMOUNT], ExpenseTBL[MONTH], B7)</f>
        <v>0</v>
      </c>
      <c r="E7">
        <f t="shared" si="0"/>
        <v>0</v>
      </c>
    </row>
    <row r="8" spans="2:5" x14ac:dyDescent="0.35">
      <c r="B8" s="1" t="s">
        <v>16</v>
      </c>
      <c r="C8">
        <f>SUMIFS(IncomeTBL[AMOUNT], IncomeTBL[MONTH], B8)</f>
        <v>0</v>
      </c>
      <c r="D8">
        <f>SUMIFS(ExpenseTBL[AMOUNT], ExpenseTBL[MONTH], B8)</f>
        <v>0</v>
      </c>
      <c r="E8">
        <f t="shared" si="0"/>
        <v>0</v>
      </c>
    </row>
    <row r="9" spans="2:5" x14ac:dyDescent="0.35">
      <c r="B9" s="1" t="s">
        <v>17</v>
      </c>
      <c r="C9">
        <f>SUMIFS(IncomeTBL[AMOUNT], IncomeTBL[MONTH], B9)</f>
        <v>0</v>
      </c>
      <c r="D9">
        <f>SUMIFS(ExpenseTBL[AMOUNT], ExpenseTBL[MONTH], B9)</f>
        <v>0</v>
      </c>
      <c r="E9">
        <f t="shared" si="0"/>
        <v>0</v>
      </c>
    </row>
    <row r="10" spans="2:5" x14ac:dyDescent="0.35">
      <c r="B10" s="1" t="s">
        <v>18</v>
      </c>
      <c r="C10">
        <f>SUMIFS(IncomeTBL[AMOUNT], IncomeTBL[MONTH], B10)</f>
        <v>0</v>
      </c>
      <c r="D10">
        <f>SUMIFS(ExpenseTBL[AMOUNT], ExpenseTBL[MONTH], B10)</f>
        <v>0</v>
      </c>
      <c r="E10">
        <f t="shared" si="0"/>
        <v>0</v>
      </c>
    </row>
    <row r="11" spans="2:5" x14ac:dyDescent="0.35">
      <c r="B11" s="1" t="s">
        <v>19</v>
      </c>
      <c r="C11">
        <f>SUMIFS(IncomeTBL[AMOUNT], IncomeTBL[MONTH], B11)</f>
        <v>0</v>
      </c>
      <c r="D11">
        <f>SUMIFS(ExpenseTBL[AMOUNT], ExpenseTBL[MONTH], B11)</f>
        <v>0</v>
      </c>
      <c r="E11">
        <f t="shared" si="0"/>
        <v>0</v>
      </c>
    </row>
    <row r="12" spans="2:5" x14ac:dyDescent="0.35">
      <c r="B12" s="1" t="s">
        <v>20</v>
      </c>
      <c r="C12">
        <f>SUMIFS(IncomeTBL[AMOUNT], IncomeTBL[MONTH], B12)</f>
        <v>0</v>
      </c>
      <c r="D12">
        <f>SUMIFS(ExpenseTBL[AMOUNT], ExpenseTBL[MONTH], B12)</f>
        <v>0</v>
      </c>
      <c r="E12">
        <f t="shared" si="0"/>
        <v>0</v>
      </c>
    </row>
    <row r="13" spans="2:5" x14ac:dyDescent="0.35">
      <c r="B13" s="1" t="s">
        <v>21</v>
      </c>
      <c r="C13">
        <f>SUMIFS(IncomeTBL[AMOUNT], IncomeTBL[MONTH], B13)</f>
        <v>0</v>
      </c>
      <c r="D13">
        <f>SUMIFS(ExpenseTBL[AMOUNT], ExpenseTBL[MONTH], B13)</f>
        <v>0</v>
      </c>
      <c r="E13">
        <f t="shared" si="0"/>
        <v>0</v>
      </c>
    </row>
    <row r="14" spans="2:5" x14ac:dyDescent="0.35">
      <c r="B14" s="1" t="s">
        <v>22</v>
      </c>
      <c r="C14">
        <f>SUMIFS(IncomeTBL[AMOUNT], IncomeTBL[MONTH], B14)</f>
        <v>0</v>
      </c>
      <c r="D14">
        <f>SUMIFS(ExpenseTBL[AMOUNT], ExpenseTBL[MONTH], B14)</f>
        <v>0</v>
      </c>
      <c r="E14">
        <f t="shared" si="0"/>
        <v>0</v>
      </c>
    </row>
    <row r="15" spans="2:5" x14ac:dyDescent="0.35">
      <c r="B15" s="1" t="s">
        <v>23</v>
      </c>
      <c r="C15">
        <f>SUMIFS(IncomeTBL[AMOUNT], IncomeTBL[MONTH], B15)</f>
        <v>0</v>
      </c>
      <c r="D15">
        <f>SUMIFS(ExpenseTBL[AMOUNT], ExpenseTBL[MONTH], B15)</f>
        <v>0</v>
      </c>
      <c r="E15">
        <f t="shared" si="0"/>
        <v>0</v>
      </c>
    </row>
    <row r="16" spans="2:5" x14ac:dyDescent="0.35">
      <c r="B16" s="1" t="s">
        <v>24</v>
      </c>
      <c r="C16">
        <f>SUMIFS(IncomeTBL[AMOUNT], IncomeTBL[MONTH], B16)</f>
        <v>0</v>
      </c>
      <c r="D16">
        <f>SUMIFS(ExpenseTBL[AMOUNT], ExpenseTBL[MONTH], B16)</f>
        <v>0</v>
      </c>
      <c r="E16">
        <f t="shared" si="0"/>
        <v>0</v>
      </c>
    </row>
  </sheetData>
  <mergeCells count="1">
    <mergeCell ref="B2:E2"/>
  </mergeCells>
  <dataValidations count="1">
    <dataValidation type="list" allowBlank="1" showInputMessage="1" showErrorMessage="1" sqref="B5:B14 B15:B16" xr:uid="{3BF28712-1BD1-4ADA-ACEC-B8C6001840CB}">
      <formula1>"January,February,March,April,May,June,July,August,September,October,November,December"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60059-067C-44B4-A751-D5DDE6EDE890}">
  <dimension ref="A1:F8"/>
  <sheetViews>
    <sheetView workbookViewId="0">
      <selection activeCell="B5" sqref="B5"/>
    </sheetView>
  </sheetViews>
  <sheetFormatPr defaultRowHeight="14.5" x14ac:dyDescent="0.35"/>
  <cols>
    <col min="1" max="2" width="13.36328125" bestFit="1" customWidth="1"/>
    <col min="5" max="5" width="10.7265625" bestFit="1" customWidth="1"/>
    <col min="6" max="6" width="11.26953125" bestFit="1" customWidth="1"/>
  </cols>
  <sheetData>
    <row r="1" spans="1:6" x14ac:dyDescent="0.35">
      <c r="A1" s="6" t="s">
        <v>38</v>
      </c>
      <c r="B1" s="6"/>
      <c r="E1" s="6" t="s">
        <v>39</v>
      </c>
      <c r="F1" s="6"/>
    </row>
    <row r="3" spans="1:6" x14ac:dyDescent="0.35">
      <c r="A3" s="3" t="s">
        <v>30</v>
      </c>
      <c r="B3" t="s">
        <v>33</v>
      </c>
      <c r="E3" s="3" t="s">
        <v>9</v>
      </c>
      <c r="F3" t="s">
        <v>37</v>
      </c>
    </row>
    <row r="4" spans="1:6" x14ac:dyDescent="0.35">
      <c r="A4" s="7" t="s">
        <v>29</v>
      </c>
      <c r="B4" s="8"/>
      <c r="E4" s="7" t="s">
        <v>25</v>
      </c>
      <c r="F4" s="8"/>
    </row>
    <row r="5" spans="1:6" x14ac:dyDescent="0.35">
      <c r="A5" s="7" t="s">
        <v>28</v>
      </c>
      <c r="B5" s="8"/>
      <c r="E5" s="4" t="s">
        <v>26</v>
      </c>
      <c r="F5" s="5"/>
    </row>
    <row r="6" spans="1:6" x14ac:dyDescent="0.35">
      <c r="A6" s="7" t="s">
        <v>27</v>
      </c>
      <c r="B6" s="8"/>
    </row>
    <row r="7" spans="1:6" x14ac:dyDescent="0.35">
      <c r="A7" s="7" t="s">
        <v>25</v>
      </c>
      <c r="B7" s="8"/>
    </row>
    <row r="8" spans="1:6" x14ac:dyDescent="0.35">
      <c r="A8" s="4" t="s">
        <v>26</v>
      </c>
      <c r="B8" s="5"/>
    </row>
  </sheetData>
  <mergeCells count="2">
    <mergeCell ref="A1:B1"/>
    <mergeCell ref="E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F6D89-A284-4693-ACF0-7C956D3BC08D}">
  <dimension ref="A1:F8"/>
  <sheetViews>
    <sheetView workbookViewId="0">
      <selection activeCell="F16" sqref="F16"/>
    </sheetView>
  </sheetViews>
  <sheetFormatPr defaultRowHeight="14.5" x14ac:dyDescent="0.35"/>
  <cols>
    <col min="1" max="1" width="10.7265625" bestFit="1" customWidth="1"/>
    <col min="2" max="2" width="11.7265625" bestFit="1" customWidth="1"/>
    <col min="5" max="5" width="10.7265625" bestFit="1" customWidth="1"/>
    <col min="6" max="6" width="12.36328125" bestFit="1" customWidth="1"/>
  </cols>
  <sheetData>
    <row r="1" spans="1:6" x14ac:dyDescent="0.35">
      <c r="A1" s="6" t="s">
        <v>40</v>
      </c>
      <c r="B1" s="6"/>
      <c r="E1" s="6" t="s">
        <v>41</v>
      </c>
      <c r="F1" s="6"/>
    </row>
    <row r="3" spans="1:6" x14ac:dyDescent="0.35">
      <c r="A3" s="3" t="s">
        <v>32</v>
      </c>
      <c r="B3" t="s">
        <v>10</v>
      </c>
      <c r="E3" s="3" t="s">
        <v>9</v>
      </c>
      <c r="F3" t="s">
        <v>31</v>
      </c>
    </row>
    <row r="4" spans="1:6" x14ac:dyDescent="0.35">
      <c r="A4" s="7" t="s">
        <v>34</v>
      </c>
      <c r="B4" s="8">
        <v>459</v>
      </c>
      <c r="E4" s="7" t="s">
        <v>13</v>
      </c>
      <c r="F4" s="8">
        <v>859</v>
      </c>
    </row>
    <row r="5" spans="1:6" x14ac:dyDescent="0.35">
      <c r="A5" s="7" t="s">
        <v>36</v>
      </c>
      <c r="B5" s="8">
        <v>300</v>
      </c>
      <c r="E5" s="7" t="s">
        <v>19</v>
      </c>
      <c r="F5" s="8">
        <v>300</v>
      </c>
    </row>
    <row r="6" spans="1:6" x14ac:dyDescent="0.35">
      <c r="A6" s="7" t="s">
        <v>35</v>
      </c>
      <c r="B6" s="8">
        <v>400</v>
      </c>
      <c r="E6" s="7" t="s">
        <v>25</v>
      </c>
      <c r="F6" s="8"/>
    </row>
    <row r="7" spans="1:6" x14ac:dyDescent="0.35">
      <c r="A7" s="7" t="s">
        <v>25</v>
      </c>
      <c r="B7" s="8"/>
      <c r="E7" s="4" t="s">
        <v>26</v>
      </c>
      <c r="F7" s="5">
        <v>1159</v>
      </c>
    </row>
    <row r="8" spans="1:6" x14ac:dyDescent="0.35">
      <c r="A8" s="4" t="s">
        <v>26</v>
      </c>
      <c r="B8" s="5">
        <v>1159</v>
      </c>
    </row>
  </sheetData>
  <mergeCells count="2">
    <mergeCell ref="A1:B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Dashboard_2026</vt:lpstr>
      <vt:lpstr>Income_2026</vt:lpstr>
      <vt:lpstr>Expense_2026</vt:lpstr>
      <vt:lpstr>Savings_2026</vt:lpstr>
      <vt:lpstr>Pivot_Expenses</vt:lpstr>
      <vt:lpstr>Pivot_Income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s</dc:creator>
  <cp:lastModifiedBy>Raj s</cp:lastModifiedBy>
  <dcterms:created xsi:type="dcterms:W3CDTF">2025-12-26T07:26:27Z</dcterms:created>
  <dcterms:modified xsi:type="dcterms:W3CDTF">2025-12-26T10:20:49Z</dcterms:modified>
</cp:coreProperties>
</file>